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qib Bedar\Desktop\CSBS-1st\"/>
    </mc:Choice>
  </mc:AlternateContent>
  <xr:revisionPtr revIDLastSave="0" documentId="13_ncr:1_{10593136-542F-452F-81DC-F7E59343AB30}" xr6:coauthVersionLast="47" xr6:coauthVersionMax="47" xr10:uidLastSave="{00000000-0000-0000-0000-000000000000}"/>
  <bookViews>
    <workbookView xWindow="-120" yWindow="-120" windowWidth="20730" windowHeight="11040" xr2:uid="{C753C55A-CFC4-4D84-9555-E95C0D407FFB}"/>
  </bookViews>
  <sheets>
    <sheet name="Sheet1" sheetId="1" r:id="rId1"/>
  </sheets>
  <definedNames>
    <definedName name="NAMES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11" i="1"/>
  <c r="M10" i="1"/>
  <c r="M9" i="1"/>
  <c r="M8" i="1"/>
  <c r="M7" i="1"/>
  <c r="M6" i="1"/>
  <c r="M5" i="1"/>
  <c r="M4" i="1"/>
  <c r="M3" i="1"/>
  <c r="K11" i="1"/>
  <c r="K10" i="1"/>
  <c r="K9" i="1"/>
  <c r="K8" i="1"/>
  <c r="L8" i="1" s="1"/>
  <c r="K7" i="1"/>
  <c r="K6" i="1"/>
  <c r="L6" i="1" s="1"/>
  <c r="K5" i="1"/>
  <c r="K4" i="1"/>
  <c r="L4" i="1" s="1"/>
  <c r="K3" i="1"/>
  <c r="L3" i="1" s="1"/>
  <c r="L5" i="1"/>
  <c r="L2" i="1"/>
  <c r="L9" i="1"/>
  <c r="L10" i="1"/>
  <c r="K2" i="1"/>
  <c r="L7" i="1"/>
  <c r="L11" i="1"/>
</calcChain>
</file>

<file path=xl/sharedStrings.xml><?xml version="1.0" encoding="utf-8"?>
<sst xmlns="http://schemas.openxmlformats.org/spreadsheetml/2006/main" count="23" uniqueCount="23">
  <si>
    <t>Jack &amp; Johns</t>
  </si>
  <si>
    <t>Zack knight</t>
  </si>
  <si>
    <t xml:space="preserve">Harry </t>
  </si>
  <si>
    <t>Thomas</t>
  </si>
  <si>
    <t>John</t>
  </si>
  <si>
    <t>David</t>
  </si>
  <si>
    <t>Math</t>
  </si>
  <si>
    <t>PSP</t>
  </si>
  <si>
    <t>ICT</t>
  </si>
  <si>
    <t>Names</t>
  </si>
  <si>
    <t>PS</t>
  </si>
  <si>
    <t>Eng</t>
  </si>
  <si>
    <t>Total Marks</t>
  </si>
  <si>
    <t>Obtained Marks</t>
  </si>
  <si>
    <t>David J. Malan</t>
  </si>
  <si>
    <t>Arthur</t>
  </si>
  <si>
    <t>Finch</t>
  </si>
  <si>
    <t>Polard</t>
  </si>
  <si>
    <t>Islamiat</t>
  </si>
  <si>
    <t>Chemistry</t>
  </si>
  <si>
    <t>Physics</t>
  </si>
  <si>
    <t>Avg.</t>
  </si>
  <si>
    <t xml:space="preserve">Percentage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</si>
</sst>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20">
    <dxf>
      <font>
        <color rgb="FF002060"/>
      </font>
    </dxf>
    <dxf>
      <font>
        <color rgb="FFFFC000"/>
      </font>
    </dxf>
    <dxf>
      <font>
        <color rgb="FF002060"/>
      </font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CFBB-70BD-415A-B854-A8E5B5732BD7}">
  <dimension ref="A1:M11"/>
  <sheetViews>
    <sheetView tabSelected="1" workbookViewId="0">
      <selection activeCell="K13" sqref="K13"/>
    </sheetView>
  </sheetViews>
  <sheetFormatPr defaultRowHeight="21" customHeight="1" x14ac:dyDescent="0.25"/>
  <cols>
    <col min="1" max="1" width="20" style="2" customWidth="1"/>
    <col min="2" max="2" width="11.140625" style="3" customWidth="1"/>
    <col min="3" max="3" width="10.85546875" style="4" customWidth="1"/>
    <col min="4" max="4" width="9.140625" style="1"/>
    <col min="5" max="6" width="9.140625" style="3"/>
    <col min="7" max="7" width="12.85546875" style="1" customWidth="1"/>
    <col min="8" max="8" width="12.28515625" style="1" customWidth="1"/>
    <col min="9" max="9" width="11.140625" style="3" customWidth="1"/>
    <col min="10" max="10" width="18.85546875" customWidth="1"/>
    <col min="11" max="11" width="20.7109375" customWidth="1"/>
    <col min="12" max="12" width="17.5703125" style="11" customWidth="1"/>
    <col min="13" max="13" width="12" style="1" customWidth="1"/>
  </cols>
  <sheetData>
    <row r="1" spans="1:13" ht="21" customHeight="1" x14ac:dyDescent="0.25">
      <c r="A1" s="5" t="s">
        <v>9</v>
      </c>
      <c r="B1" s="5" t="s">
        <v>7</v>
      </c>
      <c r="C1" s="6" t="s">
        <v>8</v>
      </c>
      <c r="D1" s="5" t="s">
        <v>10</v>
      </c>
      <c r="E1" s="5" t="s">
        <v>11</v>
      </c>
      <c r="F1" s="5" t="s">
        <v>6</v>
      </c>
      <c r="G1" s="5" t="s">
        <v>20</v>
      </c>
      <c r="H1" s="5" t="s">
        <v>19</v>
      </c>
      <c r="I1" s="5" t="s">
        <v>18</v>
      </c>
      <c r="J1" s="5" t="s">
        <v>12</v>
      </c>
      <c r="K1" s="5" t="s">
        <v>13</v>
      </c>
      <c r="L1" s="11" t="s">
        <v>22</v>
      </c>
      <c r="M1" s="11" t="s">
        <v>21</v>
      </c>
    </row>
    <row r="2" spans="1:13" ht="21" customHeight="1" x14ac:dyDescent="0.3">
      <c r="A2" s="10" t="s">
        <v>0</v>
      </c>
      <c r="B2" s="7">
        <v>89</v>
      </c>
      <c r="C2" s="8">
        <v>79</v>
      </c>
      <c r="D2" s="9">
        <v>95</v>
      </c>
      <c r="E2" s="7">
        <v>30</v>
      </c>
      <c r="F2" s="7">
        <v>90</v>
      </c>
      <c r="G2" s="9">
        <v>55</v>
      </c>
      <c r="H2" s="9">
        <v>77</v>
      </c>
      <c r="I2" s="9">
        <v>48</v>
      </c>
      <c r="J2" s="9">
        <v>800</v>
      </c>
      <c r="K2" s="9">
        <f>SUMIF(B2:I2, "&gt;=33")</f>
        <v>533</v>
      </c>
      <c r="L2" s="12">
        <f>(K2 / J2) * 100</f>
        <v>66.625</v>
      </c>
      <c r="M2" s="13">
        <f>AVERAGE(B2:I2)</f>
        <v>70.375</v>
      </c>
    </row>
    <row r="3" spans="1:13" ht="21" customHeight="1" x14ac:dyDescent="0.3">
      <c r="A3" s="10" t="s">
        <v>1</v>
      </c>
      <c r="B3" s="7">
        <v>67</v>
      </c>
      <c r="C3" s="8">
        <v>55</v>
      </c>
      <c r="D3" s="9">
        <v>80</v>
      </c>
      <c r="E3" s="7">
        <v>75</v>
      </c>
      <c r="F3" s="7">
        <v>51</v>
      </c>
      <c r="G3" s="9">
        <v>66</v>
      </c>
      <c r="H3" s="9">
        <v>33</v>
      </c>
      <c r="I3" s="9">
        <v>30</v>
      </c>
      <c r="J3" s="9">
        <v>800</v>
      </c>
      <c r="K3" s="9">
        <f t="shared" ref="K3:K11" si="0">SUMIF(B3:I3, "&gt;=33")</f>
        <v>427</v>
      </c>
      <c r="L3" s="12">
        <f t="shared" ref="L3:L11" si="1">(K3 / J3) * 100</f>
        <v>53.374999999999993</v>
      </c>
      <c r="M3" s="13">
        <f t="shared" ref="M3:M11" si="2">AVERAGE(B3:I3)</f>
        <v>57.125</v>
      </c>
    </row>
    <row r="4" spans="1:13" ht="21" customHeight="1" x14ac:dyDescent="0.3">
      <c r="A4" s="10" t="s">
        <v>2</v>
      </c>
      <c r="B4" s="7">
        <v>66</v>
      </c>
      <c r="C4" s="8">
        <v>27</v>
      </c>
      <c r="D4" s="9">
        <v>90</v>
      </c>
      <c r="E4" s="7">
        <v>67</v>
      </c>
      <c r="F4" s="7">
        <v>45</v>
      </c>
      <c r="G4" s="9">
        <v>92</v>
      </c>
      <c r="H4" s="9">
        <v>45</v>
      </c>
      <c r="I4" s="9">
        <v>32</v>
      </c>
      <c r="J4" s="9">
        <v>800</v>
      </c>
      <c r="K4" s="9">
        <f t="shared" si="0"/>
        <v>405</v>
      </c>
      <c r="L4" s="12">
        <f t="shared" si="1"/>
        <v>50.625</v>
      </c>
      <c r="M4" s="13">
        <f t="shared" si="2"/>
        <v>58</v>
      </c>
    </row>
    <row r="5" spans="1:13" ht="21" customHeight="1" x14ac:dyDescent="0.3">
      <c r="A5" s="10" t="s">
        <v>3</v>
      </c>
      <c r="B5" s="7">
        <v>78</v>
      </c>
      <c r="C5" s="8">
        <v>50</v>
      </c>
      <c r="D5" s="9">
        <v>65</v>
      </c>
      <c r="E5" s="7">
        <v>77</v>
      </c>
      <c r="F5" s="7">
        <v>23</v>
      </c>
      <c r="G5" s="9">
        <v>43</v>
      </c>
      <c r="H5" s="9">
        <v>88</v>
      </c>
      <c r="I5" s="9">
        <v>33</v>
      </c>
      <c r="J5" s="9">
        <v>800</v>
      </c>
      <c r="K5" s="9">
        <f t="shared" si="0"/>
        <v>434</v>
      </c>
      <c r="L5" s="12">
        <f t="shared" si="1"/>
        <v>54.25</v>
      </c>
      <c r="M5" s="13">
        <f t="shared" si="2"/>
        <v>57.125</v>
      </c>
    </row>
    <row r="6" spans="1:13" ht="21" customHeight="1" x14ac:dyDescent="0.3">
      <c r="A6" s="10" t="s">
        <v>4</v>
      </c>
      <c r="B6" s="7">
        <v>22</v>
      </c>
      <c r="C6" s="8">
        <v>88</v>
      </c>
      <c r="D6" s="9">
        <v>76</v>
      </c>
      <c r="E6" s="7">
        <v>66</v>
      </c>
      <c r="F6" s="7">
        <v>60</v>
      </c>
      <c r="G6" s="9">
        <v>11</v>
      </c>
      <c r="H6" s="9">
        <v>77</v>
      </c>
      <c r="I6" s="9">
        <v>70</v>
      </c>
      <c r="J6" s="9">
        <v>800</v>
      </c>
      <c r="K6" s="9">
        <f t="shared" si="0"/>
        <v>437</v>
      </c>
      <c r="L6" s="12">
        <f t="shared" si="1"/>
        <v>54.625</v>
      </c>
      <c r="M6" s="13">
        <f t="shared" si="2"/>
        <v>58.75</v>
      </c>
    </row>
    <row r="7" spans="1:13" ht="21" customHeight="1" x14ac:dyDescent="0.3">
      <c r="A7" s="10" t="s">
        <v>5</v>
      </c>
      <c r="B7" s="7">
        <v>34</v>
      </c>
      <c r="C7" s="8">
        <v>44</v>
      </c>
      <c r="D7" s="9">
        <v>89</v>
      </c>
      <c r="E7" s="7">
        <v>23</v>
      </c>
      <c r="F7" s="7">
        <v>88</v>
      </c>
      <c r="G7" s="9">
        <v>99</v>
      </c>
      <c r="H7" s="9">
        <v>77</v>
      </c>
      <c r="I7" s="9">
        <v>55</v>
      </c>
      <c r="J7" s="9">
        <v>800</v>
      </c>
      <c r="K7" s="9">
        <f t="shared" si="0"/>
        <v>486</v>
      </c>
      <c r="L7" s="12">
        <f t="shared" si="1"/>
        <v>60.750000000000007</v>
      </c>
      <c r="M7" s="13">
        <f t="shared" si="2"/>
        <v>63.625</v>
      </c>
    </row>
    <row r="8" spans="1:13" ht="21" customHeight="1" x14ac:dyDescent="0.3">
      <c r="A8" s="10" t="s">
        <v>14</v>
      </c>
      <c r="B8" s="7">
        <v>80</v>
      </c>
      <c r="C8" s="8">
        <v>29</v>
      </c>
      <c r="D8" s="9">
        <v>90</v>
      </c>
      <c r="E8" s="7">
        <v>95</v>
      </c>
      <c r="F8" s="7">
        <v>99</v>
      </c>
      <c r="G8" s="9">
        <v>76</v>
      </c>
      <c r="H8" s="9">
        <v>60</v>
      </c>
      <c r="I8" s="9">
        <v>88</v>
      </c>
      <c r="J8" s="9">
        <v>800</v>
      </c>
      <c r="K8" s="9">
        <f t="shared" si="0"/>
        <v>588</v>
      </c>
      <c r="L8" s="12">
        <f t="shared" si="1"/>
        <v>73.5</v>
      </c>
      <c r="M8" s="13">
        <f t="shared" si="2"/>
        <v>77.125</v>
      </c>
    </row>
    <row r="9" spans="1:13" ht="21" customHeight="1" x14ac:dyDescent="0.3">
      <c r="A9" s="10" t="s">
        <v>15</v>
      </c>
      <c r="B9" s="7">
        <v>40</v>
      </c>
      <c r="C9" s="7">
        <v>55</v>
      </c>
      <c r="D9" s="7">
        <v>43</v>
      </c>
      <c r="E9" s="7">
        <v>80</v>
      </c>
      <c r="F9" s="7">
        <v>22</v>
      </c>
      <c r="G9" s="9">
        <v>23</v>
      </c>
      <c r="H9" s="9">
        <v>89</v>
      </c>
      <c r="I9" s="9">
        <v>90</v>
      </c>
      <c r="J9" s="9">
        <v>800</v>
      </c>
      <c r="K9" s="9">
        <f t="shared" si="0"/>
        <v>397</v>
      </c>
      <c r="L9" s="12">
        <f t="shared" si="1"/>
        <v>49.625</v>
      </c>
      <c r="M9" s="13">
        <f t="shared" si="2"/>
        <v>55.25</v>
      </c>
    </row>
    <row r="10" spans="1:13" ht="21" customHeight="1" x14ac:dyDescent="0.3">
      <c r="A10" s="10" t="s">
        <v>16</v>
      </c>
      <c r="B10" s="7">
        <v>61</v>
      </c>
      <c r="C10" s="7">
        <v>72</v>
      </c>
      <c r="D10" s="7">
        <v>82</v>
      </c>
      <c r="E10" s="7">
        <v>85</v>
      </c>
      <c r="F10" s="7">
        <v>91</v>
      </c>
      <c r="G10" s="9">
        <v>55</v>
      </c>
      <c r="H10" s="9">
        <v>22</v>
      </c>
      <c r="I10" s="9">
        <v>80</v>
      </c>
      <c r="J10" s="9">
        <v>800</v>
      </c>
      <c r="K10" s="9">
        <f t="shared" si="0"/>
        <v>526</v>
      </c>
      <c r="L10" s="12">
        <f t="shared" si="1"/>
        <v>65.75</v>
      </c>
      <c r="M10" s="13">
        <f t="shared" si="2"/>
        <v>68.5</v>
      </c>
    </row>
    <row r="11" spans="1:13" ht="21" customHeight="1" x14ac:dyDescent="0.3">
      <c r="A11" s="10" t="s">
        <v>17</v>
      </c>
      <c r="B11" s="7">
        <v>10</v>
      </c>
      <c r="C11" s="7">
        <v>35</v>
      </c>
      <c r="D11" s="7">
        <v>25</v>
      </c>
      <c r="E11" s="7">
        <v>40</v>
      </c>
      <c r="F11" s="7">
        <v>9</v>
      </c>
      <c r="G11" s="9">
        <v>99</v>
      </c>
      <c r="H11" s="9">
        <v>20</v>
      </c>
      <c r="I11" s="9">
        <v>90</v>
      </c>
      <c r="J11" s="9">
        <v>800</v>
      </c>
      <c r="K11" s="9">
        <f t="shared" si="0"/>
        <v>264</v>
      </c>
      <c r="L11" s="12">
        <f t="shared" si="1"/>
        <v>33</v>
      </c>
      <c r="M11" s="13">
        <f t="shared" si="2"/>
        <v>41</v>
      </c>
    </row>
  </sheetData>
  <conditionalFormatting sqref="B2:F11">
    <cfRule type="cellIs" dxfId="10" priority="5" operator="greaterThan">
      <formula>33</formula>
    </cfRule>
    <cfRule type="cellIs" dxfId="9" priority="6" operator="lessThan">
      <formula>33</formula>
    </cfRule>
  </conditionalFormatting>
  <conditionalFormatting sqref="G2:I11">
    <cfRule type="cellIs" dxfId="8" priority="4" operator="greaterThan">
      <formula>33</formula>
    </cfRule>
    <cfRule type="cellIs" dxfId="7" priority="3" operator="lessThan">
      <formula>33</formula>
    </cfRule>
  </conditionalFormatting>
  <conditionalFormatting sqref="B2:I11">
    <cfRule type="cellIs" dxfId="0" priority="2" operator="equal">
      <formula>33</formula>
    </cfRule>
    <cfRule type="cellIs" dxfId="1" priority="1" operator="equal">
      <formula>33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Bedar</dc:creator>
  <cp:lastModifiedBy>Saqib Bedar</cp:lastModifiedBy>
  <dcterms:created xsi:type="dcterms:W3CDTF">2023-10-26T07:44:08Z</dcterms:created>
  <dcterms:modified xsi:type="dcterms:W3CDTF">2023-10-26T10:44:35Z</dcterms:modified>
</cp:coreProperties>
</file>