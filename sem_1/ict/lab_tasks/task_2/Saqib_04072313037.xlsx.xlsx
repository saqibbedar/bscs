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qib Bedar\Desktop\CSBS-1st\Lab Task 2\"/>
    </mc:Choice>
  </mc:AlternateContent>
  <xr:revisionPtr revIDLastSave="0" documentId="13_ncr:1_{425F0C69-1DB5-4D99-8270-36997806DBBD}" xr6:coauthVersionLast="47" xr6:coauthVersionMax="47" xr10:uidLastSave="{00000000-0000-0000-0000-000000000000}"/>
  <bookViews>
    <workbookView xWindow="-120" yWindow="-120" windowWidth="20730" windowHeight="11040" xr2:uid="{1B5523A7-4EFF-4278-8EF9-8A7DD9404E22}"/>
  </bookViews>
  <sheets>
    <sheet name="Attendance Sheet" sheetId="1" r:id="rId1"/>
    <sheet name="Cha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1" l="1"/>
  <c r="AG3" i="1"/>
  <c r="D23" i="1"/>
  <c r="AH3" i="1"/>
  <c r="AA23" i="1"/>
  <c r="F23" i="1"/>
  <c r="G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B23" i="1"/>
  <c r="AC23" i="1"/>
  <c r="AD23" i="1"/>
  <c r="AE23" i="1"/>
  <c r="AH4" i="1"/>
  <c r="AJ4" i="1" s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F25" i="1"/>
  <c r="G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F24" i="1"/>
  <c r="G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D25" i="1"/>
  <c r="D2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3" i="1"/>
  <c r="AJ3" i="1" l="1"/>
  <c r="AJ21" i="1"/>
  <c r="AJ20" i="1"/>
  <c r="AJ19" i="1"/>
  <c r="AJ17" i="1"/>
  <c r="AJ18" i="1"/>
  <c r="AJ16" i="1"/>
  <c r="AJ15" i="1"/>
  <c r="AJ14" i="1"/>
  <c r="AJ13" i="1"/>
  <c r="AJ12" i="1"/>
  <c r="AJ11" i="1"/>
  <c r="AJ10" i="1"/>
  <c r="AJ9" i="1"/>
  <c r="AJ8" i="1"/>
  <c r="AJ7" i="1"/>
  <c r="AJ6" i="1"/>
  <c r="AJ5" i="1"/>
</calcChain>
</file>

<file path=xl/sharedStrings.xml><?xml version="1.0" encoding="utf-8"?>
<sst xmlns="http://schemas.openxmlformats.org/spreadsheetml/2006/main" count="511" uniqueCount="37">
  <si>
    <t>S.NO.</t>
  </si>
  <si>
    <t>Student Name</t>
  </si>
  <si>
    <t>Reg No.</t>
  </si>
  <si>
    <t>Sep_2023</t>
  </si>
  <si>
    <t>Oct_2023</t>
  </si>
  <si>
    <t>Nov_2023</t>
  </si>
  <si>
    <t>Dec_2023</t>
  </si>
  <si>
    <t>Total Classes</t>
  </si>
  <si>
    <t>Attendence %</t>
  </si>
  <si>
    <t>Presents</t>
  </si>
  <si>
    <t>Absents</t>
  </si>
  <si>
    <t>Missed</t>
  </si>
  <si>
    <t>Total Students</t>
  </si>
  <si>
    <t>Present Students</t>
  </si>
  <si>
    <t>Absent Students</t>
  </si>
  <si>
    <t>P</t>
  </si>
  <si>
    <t>HAMZA AFSAR</t>
  </si>
  <si>
    <t>YAR MUHAMMAD</t>
  </si>
  <si>
    <t>ALI RAZA</t>
  </si>
  <si>
    <t>HASAN AZIZ</t>
  </si>
  <si>
    <t>TALHA AYAZ</t>
  </si>
  <si>
    <t>RAJA HASHAM</t>
  </si>
  <si>
    <t>MUZAFAR ALI</t>
  </si>
  <si>
    <t>ZULQARNAIN</t>
  </si>
  <si>
    <t>MD. ILYAS</t>
  </si>
  <si>
    <t>MD. WASEEL</t>
  </si>
  <si>
    <t>ALI HAIDER</t>
  </si>
  <si>
    <t>A</t>
  </si>
  <si>
    <t>Convocation Leave</t>
  </si>
  <si>
    <t>HUMAIRA</t>
  </si>
  <si>
    <t>FATIMA ARIF</t>
  </si>
  <si>
    <t>MD. TAUSEEF</t>
  </si>
  <si>
    <t>LAIBA TAHIR</t>
  </si>
  <si>
    <t>ALEENA TARIQ</t>
  </si>
  <si>
    <t>MARAYAM</t>
  </si>
  <si>
    <t>SAMINA SHAHID</t>
  </si>
  <si>
    <t>ALISHA NASIR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</si>
</sst>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4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  <font>
      <sz val="12"/>
      <color rgb="FFFFA500"/>
      <name val="Times New Roman"/>
      <family val="1"/>
    </font>
    <font>
      <sz val="12"/>
      <color theme="1"/>
      <name val="Arial"/>
      <family val="2"/>
    </font>
    <font>
      <sz val="12"/>
      <color theme="4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sz val="12"/>
      <color rgb="FFFFA5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D600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D60093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double">
        <color rgb="FFD60093"/>
      </right>
      <top style="thin">
        <color indexed="64"/>
      </top>
      <bottom/>
      <diagonal/>
    </border>
    <border>
      <left style="thin">
        <color indexed="64"/>
      </left>
      <right style="double">
        <color rgb="FFD60093"/>
      </right>
      <top/>
      <bottom/>
      <diagonal/>
    </border>
    <border>
      <left style="thin">
        <color indexed="64"/>
      </left>
      <right style="double">
        <color rgb="FFD6009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textRotation="255"/>
    </xf>
    <xf numFmtId="0" fontId="5" fillId="0" borderId="7" xfId="0" applyFont="1" applyBorder="1" applyAlignment="1">
      <alignment horizontal="center" vertical="center" textRotation="255"/>
    </xf>
    <xf numFmtId="0" fontId="5" fillId="0" borderId="8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11" xfId="0" applyFont="1" applyBorder="1" applyAlignment="1">
      <alignment horizontal="center" vertical="center" textRotation="255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FFA5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FFA500"/>
      <color rgb="FFFF9900"/>
      <color rgb="FFF3AC2D"/>
      <color rgb="FFD6009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Attendence %</a:t>
            </a:r>
          </a:p>
        </c:rich>
      </c:tx>
      <c:layout>
        <c:manualLayout>
          <c:xMode val="edge"/>
          <c:yMode val="edge"/>
          <c:x val="0.41168222496195117"/>
          <c:y val="1.6105032711762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Sheet'!$AJ$1</c:f>
              <c:strCache>
                <c:ptCount val="1"/>
                <c:pt idx="0">
                  <c:v>Attendence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'Attendance Sheet'!$AJ$2:$AJ$21</c:f>
              <c:numCache>
                <c:formatCode>General</c:formatCode>
                <c:ptCount val="20"/>
                <c:pt idx="1">
                  <c:v>60</c:v>
                </c:pt>
                <c:pt idx="2">
                  <c:v>84</c:v>
                </c:pt>
                <c:pt idx="3">
                  <c:v>56</c:v>
                </c:pt>
                <c:pt idx="4">
                  <c:v>92</c:v>
                </c:pt>
                <c:pt idx="5">
                  <c:v>64</c:v>
                </c:pt>
                <c:pt idx="6">
                  <c:v>52</c:v>
                </c:pt>
                <c:pt idx="7">
                  <c:v>80</c:v>
                </c:pt>
                <c:pt idx="8">
                  <c:v>68</c:v>
                </c:pt>
                <c:pt idx="9">
                  <c:v>80</c:v>
                </c:pt>
                <c:pt idx="10">
                  <c:v>72</c:v>
                </c:pt>
                <c:pt idx="11">
                  <c:v>68</c:v>
                </c:pt>
                <c:pt idx="12">
                  <c:v>60</c:v>
                </c:pt>
                <c:pt idx="13">
                  <c:v>68</c:v>
                </c:pt>
                <c:pt idx="14">
                  <c:v>72</c:v>
                </c:pt>
                <c:pt idx="15">
                  <c:v>92</c:v>
                </c:pt>
                <c:pt idx="16">
                  <c:v>76</c:v>
                </c:pt>
                <c:pt idx="17">
                  <c:v>100</c:v>
                </c:pt>
                <c:pt idx="18">
                  <c:v>68</c:v>
                </c:pt>
                <c:pt idx="1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A-4130-BC23-722084535B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45343936"/>
        <c:axId val="945342688"/>
      </c:barChart>
      <c:catAx>
        <c:axId val="94534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42688"/>
        <c:crosses val="autoZero"/>
        <c:auto val="1"/>
        <c:lblAlgn val="ctr"/>
        <c:lblOffset val="100"/>
        <c:noMultiLvlLbl val="0"/>
      </c:catAx>
      <c:valAx>
        <c:axId val="9453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baseline="0">
                    <a:effectLst>
                      <a:outerShdw blurRad="50800" dist="38100" dir="5400000" algn="t" rotWithShape="0">
                        <a:srgbClr val="000000">
                          <a:alpha val="40000"/>
                        </a:srgbClr>
                      </a:outerShdw>
                    </a:effectLst>
                  </a:rPr>
                  <a:t>Attendence %</a:t>
                </a:r>
                <a:endParaRPr lang="en-GB" sz="500">
                  <a:effectLst/>
                </a:endParaRPr>
              </a:p>
            </c:rich>
          </c:tx>
          <c:layout>
            <c:manualLayout>
              <c:xMode val="edge"/>
              <c:yMode val="edge"/>
              <c:x val="2.0476947023097606E-2"/>
              <c:y val="0.405436589841750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cap="all" baseline="0">
                  <a:solidFill>
                    <a:sysClr val="window" lastClr="FFFFFF">
                      <a:lumMod val="8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4393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D74E8F-E001-4273-B871-19AFF8B9CCBE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935" cy="6308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FFAC6-13C2-4293-A6E3-FCB538EF4B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6C54-8BB7-4C35-90D3-6728BC44D985}">
  <sheetPr codeName="Sheet1"/>
  <dimension ref="A1:AJ25"/>
  <sheetViews>
    <sheetView tabSelected="1" topLeftCell="A4" zoomScale="85" zoomScaleNormal="85" workbookViewId="0">
      <selection activeCell="AF20" sqref="AF20"/>
    </sheetView>
  </sheetViews>
  <sheetFormatPr defaultRowHeight="15.75" x14ac:dyDescent="0.25"/>
  <cols>
    <col min="1" max="1" width="7" style="4" customWidth="1"/>
    <col min="2" max="2" width="20.85546875" style="4" customWidth="1"/>
    <col min="3" max="3" width="16.7109375" style="4" customWidth="1"/>
    <col min="4" max="4" width="4.42578125" style="4" bestFit="1" customWidth="1"/>
    <col min="5" max="5" width="4.42578125" style="4" customWidth="1"/>
    <col min="6" max="7" width="3.42578125" style="4" customWidth="1"/>
    <col min="8" max="13" width="3.85546875" style="4" bestFit="1" customWidth="1"/>
    <col min="14" max="16" width="3.140625" style="4" customWidth="1"/>
    <col min="17" max="22" width="3.85546875" style="4" bestFit="1" customWidth="1"/>
    <col min="23" max="25" width="3.140625" style="4" customWidth="1"/>
    <col min="26" max="31" width="3.85546875" style="4" bestFit="1" customWidth="1"/>
    <col min="32" max="32" width="9.140625" style="4"/>
    <col min="33" max="33" width="10.5703125" style="11" customWidth="1"/>
    <col min="34" max="34" width="10.5703125" style="12" customWidth="1"/>
    <col min="35" max="35" width="9.85546875" style="13" customWidth="1"/>
    <col min="36" max="36" width="15.85546875" style="20" customWidth="1"/>
    <col min="37" max="16384" width="9.140625" style="4"/>
  </cols>
  <sheetData>
    <row r="1" spans="1:36" ht="29.25" customHeight="1" x14ac:dyDescent="0.25">
      <c r="A1" s="26" t="s">
        <v>0</v>
      </c>
      <c r="B1" s="26" t="s">
        <v>1</v>
      </c>
      <c r="C1" s="27" t="s">
        <v>2</v>
      </c>
      <c r="D1" s="32" t="s">
        <v>3</v>
      </c>
      <c r="E1" s="33"/>
      <c r="F1" s="40" t="s">
        <v>4</v>
      </c>
      <c r="G1" s="26"/>
      <c r="H1" s="26"/>
      <c r="I1" s="26"/>
      <c r="J1" s="26"/>
      <c r="K1" s="26"/>
      <c r="L1" s="26"/>
      <c r="M1" s="27"/>
      <c r="N1" s="40" t="s">
        <v>5</v>
      </c>
      <c r="O1" s="26"/>
      <c r="P1" s="26"/>
      <c r="Q1" s="26"/>
      <c r="R1" s="26"/>
      <c r="S1" s="26"/>
      <c r="T1" s="26"/>
      <c r="U1" s="26"/>
      <c r="V1" s="27"/>
      <c r="W1" s="40" t="s">
        <v>6</v>
      </c>
      <c r="X1" s="26"/>
      <c r="Y1" s="26"/>
      <c r="Z1" s="26"/>
      <c r="AA1" s="26"/>
      <c r="AB1" s="26"/>
      <c r="AC1" s="26"/>
      <c r="AD1" s="26"/>
      <c r="AE1" s="27"/>
      <c r="AF1" s="22"/>
      <c r="AG1" s="31" t="s">
        <v>7</v>
      </c>
      <c r="AH1" s="34" t="s">
        <v>9</v>
      </c>
      <c r="AI1" s="35" t="s">
        <v>10</v>
      </c>
      <c r="AJ1" s="36" t="s">
        <v>8</v>
      </c>
    </row>
    <row r="2" spans="1:36" x14ac:dyDescent="0.25">
      <c r="A2" s="26"/>
      <c r="B2" s="26"/>
      <c r="C2" s="27"/>
      <c r="D2" s="23">
        <v>27</v>
      </c>
      <c r="E2" s="24">
        <v>29</v>
      </c>
      <c r="F2" s="23">
        <v>4</v>
      </c>
      <c r="G2" s="25">
        <v>6</v>
      </c>
      <c r="H2" s="25">
        <v>11</v>
      </c>
      <c r="I2" s="25">
        <v>13</v>
      </c>
      <c r="J2" s="25">
        <v>18</v>
      </c>
      <c r="K2" s="25">
        <v>20</v>
      </c>
      <c r="L2" s="25">
        <v>25</v>
      </c>
      <c r="M2" s="24">
        <v>27</v>
      </c>
      <c r="N2" s="23">
        <v>1</v>
      </c>
      <c r="O2" s="25">
        <v>3</v>
      </c>
      <c r="P2" s="25">
        <v>8</v>
      </c>
      <c r="Q2" s="25">
        <v>10</v>
      </c>
      <c r="R2" s="25">
        <v>15</v>
      </c>
      <c r="S2" s="25">
        <v>17</v>
      </c>
      <c r="T2" s="25">
        <v>22</v>
      </c>
      <c r="U2" s="25">
        <v>24</v>
      </c>
      <c r="V2" s="24">
        <v>29</v>
      </c>
      <c r="W2" s="23">
        <v>1</v>
      </c>
      <c r="X2" s="25">
        <v>6</v>
      </c>
      <c r="Y2" s="25">
        <v>8</v>
      </c>
      <c r="Z2" s="25">
        <v>13</v>
      </c>
      <c r="AA2" s="25">
        <v>15</v>
      </c>
      <c r="AB2" s="25">
        <v>20</v>
      </c>
      <c r="AC2" s="25">
        <v>22</v>
      </c>
      <c r="AD2" s="25">
        <v>27</v>
      </c>
      <c r="AE2" s="24">
        <v>29</v>
      </c>
      <c r="AF2" s="22"/>
      <c r="AG2" s="31"/>
      <c r="AH2" s="34"/>
      <c r="AI2" s="35"/>
      <c r="AJ2" s="36"/>
    </row>
    <row r="3" spans="1:36" x14ac:dyDescent="0.25">
      <c r="A3" s="3">
        <v>1</v>
      </c>
      <c r="B3" s="18" t="s">
        <v>16</v>
      </c>
      <c r="C3" s="2">
        <v>4072313001</v>
      </c>
      <c r="D3" s="1" t="s">
        <v>15</v>
      </c>
      <c r="E3" s="28" t="s">
        <v>11</v>
      </c>
      <c r="F3" s="1" t="s">
        <v>15</v>
      </c>
      <c r="G3" s="3" t="s">
        <v>15</v>
      </c>
      <c r="H3" s="37" t="s">
        <v>28</v>
      </c>
      <c r="I3" s="37" t="s">
        <v>28</v>
      </c>
      <c r="J3" s="3" t="s">
        <v>27</v>
      </c>
      <c r="K3" s="3" t="s">
        <v>15</v>
      </c>
      <c r="L3" s="3" t="s">
        <v>15</v>
      </c>
      <c r="M3" s="2" t="s">
        <v>27</v>
      </c>
      <c r="N3" s="1" t="s">
        <v>27</v>
      </c>
      <c r="O3" s="3" t="s">
        <v>15</v>
      </c>
      <c r="P3" s="3" t="s">
        <v>15</v>
      </c>
      <c r="Q3" s="3" t="s">
        <v>15</v>
      </c>
      <c r="R3" s="3" t="s">
        <v>15</v>
      </c>
      <c r="S3" s="3" t="s">
        <v>27</v>
      </c>
      <c r="T3" s="3" t="s">
        <v>15</v>
      </c>
      <c r="U3" s="3" t="s">
        <v>27</v>
      </c>
      <c r="V3" s="2" t="s">
        <v>15</v>
      </c>
      <c r="W3" s="1" t="s">
        <v>27</v>
      </c>
      <c r="X3" s="3" t="s">
        <v>27</v>
      </c>
      <c r="Y3" s="3" t="s">
        <v>15</v>
      </c>
      <c r="Z3" s="3" t="s">
        <v>15</v>
      </c>
      <c r="AA3" s="3" t="s">
        <v>15</v>
      </c>
      <c r="AB3" s="3" t="s">
        <v>15</v>
      </c>
      <c r="AC3" s="3" t="s">
        <v>27</v>
      </c>
      <c r="AD3" s="3" t="s">
        <v>27</v>
      </c>
      <c r="AE3" s="21" t="s">
        <v>27</v>
      </c>
      <c r="AF3" s="22"/>
      <c r="AG3" s="5">
        <f>COUNTA(D3:AE3)-3</f>
        <v>25</v>
      </c>
      <c r="AH3" s="6">
        <f>COUNTIF(D3:AE3, "P")</f>
        <v>15</v>
      </c>
      <c r="AI3" s="7">
        <f>COUNTIF(D3:AE3, "A")</f>
        <v>10</v>
      </c>
      <c r="AJ3" s="19">
        <f>ROUND((AH3/AG3) * 100, 0)</f>
        <v>60</v>
      </c>
    </row>
    <row r="4" spans="1:36" x14ac:dyDescent="0.25">
      <c r="A4" s="3">
        <v>2</v>
      </c>
      <c r="B4" s="18" t="s">
        <v>17</v>
      </c>
      <c r="C4" s="2">
        <v>4072313002</v>
      </c>
      <c r="D4" s="1" t="s">
        <v>15</v>
      </c>
      <c r="E4" s="29"/>
      <c r="F4" s="1" t="s">
        <v>15</v>
      </c>
      <c r="G4" s="3" t="s">
        <v>27</v>
      </c>
      <c r="H4" s="38"/>
      <c r="I4" s="38"/>
      <c r="J4" s="3" t="s">
        <v>15</v>
      </c>
      <c r="K4" s="3" t="s">
        <v>27</v>
      </c>
      <c r="L4" s="3" t="s">
        <v>15</v>
      </c>
      <c r="M4" s="2" t="s">
        <v>15</v>
      </c>
      <c r="N4" s="1" t="s">
        <v>15</v>
      </c>
      <c r="O4" s="3" t="s">
        <v>15</v>
      </c>
      <c r="P4" s="3" t="s">
        <v>15</v>
      </c>
      <c r="Q4" s="3" t="s">
        <v>15</v>
      </c>
      <c r="R4" s="3" t="s">
        <v>15</v>
      </c>
      <c r="S4" s="3" t="s">
        <v>15</v>
      </c>
      <c r="T4" s="3" t="s">
        <v>27</v>
      </c>
      <c r="U4" s="3" t="s">
        <v>15</v>
      </c>
      <c r="V4" s="2" t="s">
        <v>27</v>
      </c>
      <c r="W4" s="1" t="s">
        <v>15</v>
      </c>
      <c r="X4" s="3" t="s">
        <v>15</v>
      </c>
      <c r="Y4" s="3" t="s">
        <v>15</v>
      </c>
      <c r="Z4" s="3" t="s">
        <v>15</v>
      </c>
      <c r="AA4" s="3" t="s">
        <v>15</v>
      </c>
      <c r="AB4" s="3" t="s">
        <v>15</v>
      </c>
      <c r="AC4" s="3" t="s">
        <v>15</v>
      </c>
      <c r="AD4" s="3" t="s">
        <v>15</v>
      </c>
      <c r="AE4" s="21" t="s">
        <v>15</v>
      </c>
      <c r="AF4" s="22"/>
      <c r="AG4" s="5">
        <f>COUNTA(D4:AE4)</f>
        <v>25</v>
      </c>
      <c r="AH4" s="6">
        <f t="shared" ref="AH4:AH21" si="0">COUNTIF(D4:AE4, "P")</f>
        <v>21</v>
      </c>
      <c r="AI4" s="7">
        <f t="shared" ref="AI4:AI21" si="1">COUNTIF(D4:AE4, "A")</f>
        <v>4</v>
      </c>
      <c r="AJ4" s="19">
        <f t="shared" ref="AJ4:AJ21" si="2">ROUND((AH4/AG4) * 100, 0)</f>
        <v>84</v>
      </c>
    </row>
    <row r="5" spans="1:36" x14ac:dyDescent="0.25">
      <c r="A5" s="3">
        <v>3</v>
      </c>
      <c r="B5" s="18" t="s">
        <v>18</v>
      </c>
      <c r="C5" s="2">
        <v>4072313003</v>
      </c>
      <c r="D5" s="1" t="s">
        <v>15</v>
      </c>
      <c r="E5" s="29"/>
      <c r="F5" s="1" t="s">
        <v>27</v>
      </c>
      <c r="G5" s="3" t="s">
        <v>27</v>
      </c>
      <c r="H5" s="38"/>
      <c r="I5" s="38"/>
      <c r="J5" s="3" t="s">
        <v>15</v>
      </c>
      <c r="K5" s="3" t="s">
        <v>27</v>
      </c>
      <c r="L5" s="3" t="s">
        <v>15</v>
      </c>
      <c r="M5" s="2" t="s">
        <v>15</v>
      </c>
      <c r="N5" s="1" t="s">
        <v>15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15</v>
      </c>
      <c r="T5" s="3" t="s">
        <v>15</v>
      </c>
      <c r="U5" s="3" t="s">
        <v>15</v>
      </c>
      <c r="V5" s="2" t="s">
        <v>15</v>
      </c>
      <c r="W5" s="1" t="s">
        <v>15</v>
      </c>
      <c r="X5" s="3" t="s">
        <v>27</v>
      </c>
      <c r="Y5" s="3" t="s">
        <v>27</v>
      </c>
      <c r="Z5" s="3" t="s">
        <v>15</v>
      </c>
      <c r="AA5" s="3" t="s">
        <v>15</v>
      </c>
      <c r="AB5" s="3" t="s">
        <v>27</v>
      </c>
      <c r="AC5" s="3" t="s">
        <v>15</v>
      </c>
      <c r="AD5" s="3" t="s">
        <v>15</v>
      </c>
      <c r="AE5" s="2" t="s">
        <v>27</v>
      </c>
      <c r="AF5" s="22"/>
      <c r="AG5" s="5">
        <f t="shared" ref="AG5:AG21" si="3">COUNTA(D5:AE5)</f>
        <v>25</v>
      </c>
      <c r="AH5" s="6">
        <f t="shared" si="0"/>
        <v>14</v>
      </c>
      <c r="AI5" s="7">
        <f t="shared" si="1"/>
        <v>11</v>
      </c>
      <c r="AJ5" s="19">
        <f t="shared" si="2"/>
        <v>56</v>
      </c>
    </row>
    <row r="6" spans="1:36" x14ac:dyDescent="0.25">
      <c r="A6" s="3">
        <v>4</v>
      </c>
      <c r="B6" s="18" t="s">
        <v>19</v>
      </c>
      <c r="C6" s="2">
        <v>4072313004</v>
      </c>
      <c r="D6" s="1" t="s">
        <v>15</v>
      </c>
      <c r="E6" s="29"/>
      <c r="F6" s="1" t="s">
        <v>15</v>
      </c>
      <c r="G6" s="3" t="s">
        <v>15</v>
      </c>
      <c r="H6" s="38"/>
      <c r="I6" s="38"/>
      <c r="J6" s="3" t="s">
        <v>15</v>
      </c>
      <c r="K6" s="3" t="s">
        <v>15</v>
      </c>
      <c r="L6" s="3" t="s">
        <v>27</v>
      </c>
      <c r="M6" s="2" t="s">
        <v>15</v>
      </c>
      <c r="N6" s="1" t="s">
        <v>15</v>
      </c>
      <c r="O6" s="3" t="s">
        <v>15</v>
      </c>
      <c r="P6" s="3" t="s">
        <v>15</v>
      </c>
      <c r="Q6" s="3" t="s">
        <v>15</v>
      </c>
      <c r="R6" s="3" t="s">
        <v>15</v>
      </c>
      <c r="S6" s="3" t="s">
        <v>15</v>
      </c>
      <c r="T6" s="3" t="s">
        <v>15</v>
      </c>
      <c r="U6" s="3" t="s">
        <v>15</v>
      </c>
      <c r="V6" s="2" t="s">
        <v>15</v>
      </c>
      <c r="W6" s="1" t="s">
        <v>15</v>
      </c>
      <c r="X6" s="3" t="s">
        <v>15</v>
      </c>
      <c r="Y6" s="3" t="s">
        <v>15</v>
      </c>
      <c r="Z6" s="3" t="s">
        <v>15</v>
      </c>
      <c r="AA6" s="3" t="s">
        <v>15</v>
      </c>
      <c r="AB6" s="3" t="s">
        <v>27</v>
      </c>
      <c r="AC6" s="3" t="s">
        <v>15</v>
      </c>
      <c r="AD6" s="3" t="s">
        <v>15</v>
      </c>
      <c r="AE6" s="2" t="s">
        <v>15</v>
      </c>
      <c r="AF6" s="22"/>
      <c r="AG6" s="5">
        <f t="shared" si="3"/>
        <v>25</v>
      </c>
      <c r="AH6" s="6">
        <f t="shared" si="0"/>
        <v>23</v>
      </c>
      <c r="AI6" s="7">
        <f t="shared" si="1"/>
        <v>2</v>
      </c>
      <c r="AJ6" s="19">
        <f t="shared" si="2"/>
        <v>92</v>
      </c>
    </row>
    <row r="7" spans="1:36" x14ac:dyDescent="0.25">
      <c r="A7" s="3">
        <v>5</v>
      </c>
      <c r="B7" s="18" t="s">
        <v>20</v>
      </c>
      <c r="C7" s="2">
        <v>4072313005</v>
      </c>
      <c r="D7" s="1" t="s">
        <v>27</v>
      </c>
      <c r="E7" s="29"/>
      <c r="F7" s="1" t="s">
        <v>15</v>
      </c>
      <c r="G7" s="3" t="s">
        <v>27</v>
      </c>
      <c r="H7" s="38"/>
      <c r="I7" s="38"/>
      <c r="J7" s="3" t="s">
        <v>27</v>
      </c>
      <c r="K7" s="3" t="s">
        <v>15</v>
      </c>
      <c r="L7" s="3" t="s">
        <v>27</v>
      </c>
      <c r="M7" s="2" t="s">
        <v>27</v>
      </c>
      <c r="N7" s="1" t="s">
        <v>15</v>
      </c>
      <c r="O7" s="3" t="s">
        <v>15</v>
      </c>
      <c r="P7" s="3" t="s">
        <v>15</v>
      </c>
      <c r="Q7" s="3" t="s">
        <v>15</v>
      </c>
      <c r="R7" s="3" t="s">
        <v>15</v>
      </c>
      <c r="S7" s="3" t="s">
        <v>27</v>
      </c>
      <c r="T7" s="3" t="s">
        <v>15</v>
      </c>
      <c r="U7" s="3" t="s">
        <v>15</v>
      </c>
      <c r="V7" s="2" t="s">
        <v>15</v>
      </c>
      <c r="W7" s="1" t="s">
        <v>15</v>
      </c>
      <c r="X7" s="3" t="s">
        <v>15</v>
      </c>
      <c r="Y7" s="3" t="s">
        <v>15</v>
      </c>
      <c r="Z7" s="3" t="s">
        <v>27</v>
      </c>
      <c r="AA7" s="3" t="s">
        <v>27</v>
      </c>
      <c r="AB7" s="3" t="s">
        <v>27</v>
      </c>
      <c r="AC7" s="3" t="s">
        <v>15</v>
      </c>
      <c r="AD7" s="3" t="s">
        <v>15</v>
      </c>
      <c r="AE7" s="2" t="s">
        <v>15</v>
      </c>
      <c r="AF7" s="22"/>
      <c r="AG7" s="5">
        <f t="shared" si="3"/>
        <v>25</v>
      </c>
      <c r="AH7" s="6">
        <f t="shared" si="0"/>
        <v>16</v>
      </c>
      <c r="AI7" s="7">
        <f t="shared" si="1"/>
        <v>9</v>
      </c>
      <c r="AJ7" s="19">
        <f t="shared" si="2"/>
        <v>64</v>
      </c>
    </row>
    <row r="8" spans="1:36" x14ac:dyDescent="0.25">
      <c r="A8" s="3">
        <v>6</v>
      </c>
      <c r="B8" s="18" t="s">
        <v>21</v>
      </c>
      <c r="C8" s="2">
        <v>4072313006</v>
      </c>
      <c r="D8" s="1" t="s">
        <v>15</v>
      </c>
      <c r="E8" s="29"/>
      <c r="F8" s="1" t="s">
        <v>27</v>
      </c>
      <c r="G8" s="3" t="s">
        <v>15</v>
      </c>
      <c r="H8" s="38"/>
      <c r="I8" s="38"/>
      <c r="J8" s="3" t="s">
        <v>15</v>
      </c>
      <c r="K8" s="3" t="s">
        <v>15</v>
      </c>
      <c r="L8" s="3" t="s">
        <v>15</v>
      </c>
      <c r="M8" s="2" t="s">
        <v>15</v>
      </c>
      <c r="N8" s="1" t="s">
        <v>27</v>
      </c>
      <c r="O8" s="3" t="s">
        <v>27</v>
      </c>
      <c r="P8" s="3" t="s">
        <v>27</v>
      </c>
      <c r="Q8" s="3" t="s">
        <v>27</v>
      </c>
      <c r="R8" s="3" t="s">
        <v>15</v>
      </c>
      <c r="S8" s="3" t="s">
        <v>27</v>
      </c>
      <c r="T8" s="3" t="s">
        <v>27</v>
      </c>
      <c r="U8" s="3" t="s">
        <v>15</v>
      </c>
      <c r="V8" s="2" t="s">
        <v>27</v>
      </c>
      <c r="W8" s="1" t="s">
        <v>15</v>
      </c>
      <c r="X8" s="3" t="s">
        <v>27</v>
      </c>
      <c r="Y8" s="3" t="s">
        <v>27</v>
      </c>
      <c r="Z8" s="3" t="s">
        <v>27</v>
      </c>
      <c r="AA8" s="3" t="s">
        <v>15</v>
      </c>
      <c r="AB8" s="3" t="s">
        <v>15</v>
      </c>
      <c r="AC8" s="3" t="s">
        <v>15</v>
      </c>
      <c r="AD8" s="3" t="s">
        <v>15</v>
      </c>
      <c r="AE8" s="2" t="s">
        <v>27</v>
      </c>
      <c r="AF8" s="22"/>
      <c r="AG8" s="5">
        <f t="shared" si="3"/>
        <v>25</v>
      </c>
      <c r="AH8" s="6">
        <f t="shared" si="0"/>
        <v>13</v>
      </c>
      <c r="AI8" s="7">
        <f t="shared" si="1"/>
        <v>12</v>
      </c>
      <c r="AJ8" s="19">
        <f t="shared" si="2"/>
        <v>52</v>
      </c>
    </row>
    <row r="9" spans="1:36" x14ac:dyDescent="0.25">
      <c r="A9" s="3">
        <v>7</v>
      </c>
      <c r="B9" s="18" t="s">
        <v>22</v>
      </c>
      <c r="C9" s="2">
        <v>4072313007</v>
      </c>
      <c r="D9" s="1" t="s">
        <v>15</v>
      </c>
      <c r="E9" s="29"/>
      <c r="F9" s="1" t="s">
        <v>15</v>
      </c>
      <c r="G9" s="3" t="s">
        <v>15</v>
      </c>
      <c r="H9" s="38"/>
      <c r="I9" s="38"/>
      <c r="J9" s="3" t="s">
        <v>15</v>
      </c>
      <c r="K9" s="3" t="s">
        <v>27</v>
      </c>
      <c r="L9" s="3" t="s">
        <v>15</v>
      </c>
      <c r="M9" s="2" t="s">
        <v>27</v>
      </c>
      <c r="N9" s="1" t="s">
        <v>15</v>
      </c>
      <c r="O9" s="3" t="s">
        <v>15</v>
      </c>
      <c r="P9" s="3" t="s">
        <v>15</v>
      </c>
      <c r="Q9" s="3" t="s">
        <v>15</v>
      </c>
      <c r="R9" s="3" t="s">
        <v>27</v>
      </c>
      <c r="S9" s="3" t="s">
        <v>27</v>
      </c>
      <c r="T9" s="3" t="s">
        <v>15</v>
      </c>
      <c r="U9" s="3" t="s">
        <v>15</v>
      </c>
      <c r="V9" s="2" t="s">
        <v>27</v>
      </c>
      <c r="W9" s="1" t="s">
        <v>15</v>
      </c>
      <c r="X9" s="3" t="s">
        <v>15</v>
      </c>
      <c r="Y9" s="3" t="s">
        <v>15</v>
      </c>
      <c r="Z9" s="3" t="s">
        <v>15</v>
      </c>
      <c r="AA9" s="3" t="s">
        <v>15</v>
      </c>
      <c r="AB9" s="3" t="s">
        <v>15</v>
      </c>
      <c r="AC9" s="3" t="s">
        <v>15</v>
      </c>
      <c r="AD9" s="3" t="s">
        <v>15</v>
      </c>
      <c r="AE9" s="2" t="s">
        <v>15</v>
      </c>
      <c r="AF9" s="22"/>
      <c r="AG9" s="5">
        <f t="shared" si="3"/>
        <v>25</v>
      </c>
      <c r="AH9" s="6">
        <f t="shared" si="0"/>
        <v>20</v>
      </c>
      <c r="AI9" s="7">
        <f t="shared" si="1"/>
        <v>5</v>
      </c>
      <c r="AJ9" s="19">
        <f t="shared" si="2"/>
        <v>80</v>
      </c>
    </row>
    <row r="10" spans="1:36" x14ac:dyDescent="0.25">
      <c r="A10" s="3">
        <v>8</v>
      </c>
      <c r="B10" s="18" t="s">
        <v>23</v>
      </c>
      <c r="C10" s="2">
        <v>4072313008</v>
      </c>
      <c r="D10" s="1" t="s">
        <v>15</v>
      </c>
      <c r="E10" s="29"/>
      <c r="F10" s="1" t="s">
        <v>27</v>
      </c>
      <c r="G10" s="3" t="s">
        <v>15</v>
      </c>
      <c r="H10" s="38"/>
      <c r="I10" s="38"/>
      <c r="J10" s="3" t="s">
        <v>15</v>
      </c>
      <c r="K10" s="3" t="s">
        <v>27</v>
      </c>
      <c r="L10" s="3" t="s">
        <v>15</v>
      </c>
      <c r="M10" s="2" t="s">
        <v>27</v>
      </c>
      <c r="N10" s="1" t="s">
        <v>15</v>
      </c>
      <c r="O10" s="3" t="s">
        <v>15</v>
      </c>
      <c r="P10" s="3" t="s">
        <v>27</v>
      </c>
      <c r="Q10" s="3" t="s">
        <v>15</v>
      </c>
      <c r="R10" s="3" t="s">
        <v>15</v>
      </c>
      <c r="S10" s="3" t="s">
        <v>15</v>
      </c>
      <c r="T10" s="3" t="s">
        <v>15</v>
      </c>
      <c r="U10" s="3" t="s">
        <v>15</v>
      </c>
      <c r="V10" s="2" t="s">
        <v>15</v>
      </c>
      <c r="W10" s="1" t="s">
        <v>27</v>
      </c>
      <c r="X10" s="3" t="s">
        <v>15</v>
      </c>
      <c r="Y10" s="3" t="s">
        <v>15</v>
      </c>
      <c r="Z10" s="3" t="s">
        <v>15</v>
      </c>
      <c r="AA10" s="3" t="s">
        <v>27</v>
      </c>
      <c r="AB10" s="3" t="s">
        <v>15</v>
      </c>
      <c r="AC10" s="3" t="s">
        <v>27</v>
      </c>
      <c r="AD10" s="3" t="s">
        <v>27</v>
      </c>
      <c r="AE10" s="2" t="s">
        <v>15</v>
      </c>
      <c r="AF10" s="22"/>
      <c r="AG10" s="5">
        <f t="shared" si="3"/>
        <v>25</v>
      </c>
      <c r="AH10" s="6">
        <f t="shared" si="0"/>
        <v>17</v>
      </c>
      <c r="AI10" s="7">
        <f t="shared" si="1"/>
        <v>8</v>
      </c>
      <c r="AJ10" s="19">
        <f t="shared" si="2"/>
        <v>68</v>
      </c>
    </row>
    <row r="11" spans="1:36" x14ac:dyDescent="0.25">
      <c r="A11" s="3">
        <v>9</v>
      </c>
      <c r="B11" s="18" t="s">
        <v>29</v>
      </c>
      <c r="C11" s="2">
        <v>4072313009</v>
      </c>
      <c r="D11" s="1" t="s">
        <v>15</v>
      </c>
      <c r="E11" s="29"/>
      <c r="F11" s="1" t="s">
        <v>15</v>
      </c>
      <c r="G11" s="3" t="s">
        <v>15</v>
      </c>
      <c r="H11" s="38"/>
      <c r="I11" s="38"/>
      <c r="J11" s="3" t="s">
        <v>15</v>
      </c>
      <c r="K11" s="3" t="s">
        <v>15</v>
      </c>
      <c r="L11" s="3" t="s">
        <v>15</v>
      </c>
      <c r="M11" s="2" t="s">
        <v>15</v>
      </c>
      <c r="N11" s="1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15</v>
      </c>
      <c r="T11" s="3" t="s">
        <v>15</v>
      </c>
      <c r="U11" s="3" t="s">
        <v>15</v>
      </c>
      <c r="V11" s="2" t="s">
        <v>15</v>
      </c>
      <c r="W11" s="1" t="s">
        <v>15</v>
      </c>
      <c r="X11" s="3" t="s">
        <v>15</v>
      </c>
      <c r="Y11" s="3" t="s">
        <v>15</v>
      </c>
      <c r="Z11" s="3" t="s">
        <v>15</v>
      </c>
      <c r="AA11" s="3" t="s">
        <v>15</v>
      </c>
      <c r="AB11" s="3" t="s">
        <v>15</v>
      </c>
      <c r="AC11" s="3" t="s">
        <v>15</v>
      </c>
      <c r="AD11" s="3" t="s">
        <v>15</v>
      </c>
      <c r="AE11" s="2" t="s">
        <v>15</v>
      </c>
      <c r="AF11" s="22"/>
      <c r="AG11" s="5">
        <f t="shared" si="3"/>
        <v>25</v>
      </c>
      <c r="AH11" s="6">
        <f t="shared" si="0"/>
        <v>20</v>
      </c>
      <c r="AI11" s="7">
        <f t="shared" si="1"/>
        <v>5</v>
      </c>
      <c r="AJ11" s="19">
        <f t="shared" si="2"/>
        <v>80</v>
      </c>
    </row>
    <row r="12" spans="1:36" x14ac:dyDescent="0.25">
      <c r="A12" s="3">
        <v>10</v>
      </c>
      <c r="B12" s="18" t="s">
        <v>30</v>
      </c>
      <c r="C12" s="2">
        <v>4072313010</v>
      </c>
      <c r="D12" s="1" t="s">
        <v>15</v>
      </c>
      <c r="E12" s="29"/>
      <c r="F12" s="1" t="s">
        <v>27</v>
      </c>
      <c r="G12" s="3" t="s">
        <v>15</v>
      </c>
      <c r="H12" s="38"/>
      <c r="I12" s="38"/>
      <c r="J12" s="3" t="s">
        <v>15</v>
      </c>
      <c r="K12" s="3" t="s">
        <v>15</v>
      </c>
      <c r="L12" s="3" t="s">
        <v>15</v>
      </c>
      <c r="M12" s="2" t="s">
        <v>27</v>
      </c>
      <c r="N12" s="1" t="s">
        <v>15</v>
      </c>
      <c r="O12" s="3" t="s">
        <v>15</v>
      </c>
      <c r="P12" s="3" t="s">
        <v>15</v>
      </c>
      <c r="Q12" s="3" t="s">
        <v>15</v>
      </c>
      <c r="R12" s="3" t="s">
        <v>15</v>
      </c>
      <c r="S12" s="3" t="s">
        <v>15</v>
      </c>
      <c r="T12" s="3" t="s">
        <v>15</v>
      </c>
      <c r="U12" s="3" t="s">
        <v>15</v>
      </c>
      <c r="V12" s="2" t="s">
        <v>15</v>
      </c>
      <c r="W12" s="1" t="s">
        <v>15</v>
      </c>
      <c r="X12" s="3" t="s">
        <v>27</v>
      </c>
      <c r="Y12" s="3" t="s">
        <v>27</v>
      </c>
      <c r="Z12" s="3" t="s">
        <v>15</v>
      </c>
      <c r="AA12" s="3" t="s">
        <v>27</v>
      </c>
      <c r="AB12" s="3" t="s">
        <v>15</v>
      </c>
      <c r="AC12" s="3" t="s">
        <v>27</v>
      </c>
      <c r="AD12" s="3" t="s">
        <v>15</v>
      </c>
      <c r="AE12" s="2" t="s">
        <v>27</v>
      </c>
      <c r="AF12" s="22"/>
      <c r="AG12" s="5">
        <f t="shared" si="3"/>
        <v>25</v>
      </c>
      <c r="AH12" s="6">
        <f t="shared" si="0"/>
        <v>18</v>
      </c>
      <c r="AI12" s="7">
        <f t="shared" si="1"/>
        <v>7</v>
      </c>
      <c r="AJ12" s="19">
        <f t="shared" si="2"/>
        <v>72</v>
      </c>
    </row>
    <row r="13" spans="1:36" x14ac:dyDescent="0.25">
      <c r="A13" s="3">
        <v>11</v>
      </c>
      <c r="B13" s="18" t="s">
        <v>31</v>
      </c>
      <c r="C13" s="2">
        <v>4072313011</v>
      </c>
      <c r="D13" s="1" t="s">
        <v>15</v>
      </c>
      <c r="E13" s="29"/>
      <c r="F13" s="1" t="s">
        <v>15</v>
      </c>
      <c r="G13" s="3" t="s">
        <v>27</v>
      </c>
      <c r="H13" s="38"/>
      <c r="I13" s="38"/>
      <c r="J13" s="3" t="s">
        <v>15</v>
      </c>
      <c r="K13" s="3" t="s">
        <v>15</v>
      </c>
      <c r="L13" s="3" t="s">
        <v>15</v>
      </c>
      <c r="M13" s="2" t="s">
        <v>15</v>
      </c>
      <c r="N13" s="1" t="s">
        <v>15</v>
      </c>
      <c r="O13" s="3" t="s">
        <v>15</v>
      </c>
      <c r="P13" s="3" t="s">
        <v>27</v>
      </c>
      <c r="Q13" s="3" t="s">
        <v>27</v>
      </c>
      <c r="R13" s="3" t="s">
        <v>15</v>
      </c>
      <c r="S13" s="3" t="s">
        <v>27</v>
      </c>
      <c r="T13" s="3" t="s">
        <v>15</v>
      </c>
      <c r="U13" s="3" t="s">
        <v>27</v>
      </c>
      <c r="V13" s="2" t="s">
        <v>15</v>
      </c>
      <c r="W13" s="1" t="s">
        <v>27</v>
      </c>
      <c r="X13" s="3" t="s">
        <v>15</v>
      </c>
      <c r="Y13" s="3" t="s">
        <v>27</v>
      </c>
      <c r="Z13" s="3" t="s">
        <v>15</v>
      </c>
      <c r="AA13" s="3" t="s">
        <v>27</v>
      </c>
      <c r="AB13" s="3" t="s">
        <v>15</v>
      </c>
      <c r="AC13" s="3" t="s">
        <v>15</v>
      </c>
      <c r="AD13" s="3" t="s">
        <v>15</v>
      </c>
      <c r="AE13" s="2" t="s">
        <v>15</v>
      </c>
      <c r="AF13" s="22"/>
      <c r="AG13" s="5">
        <f t="shared" si="3"/>
        <v>25</v>
      </c>
      <c r="AH13" s="6">
        <f t="shared" si="0"/>
        <v>17</v>
      </c>
      <c r="AI13" s="7">
        <f t="shared" si="1"/>
        <v>8</v>
      </c>
      <c r="AJ13" s="19">
        <f t="shared" si="2"/>
        <v>68</v>
      </c>
    </row>
    <row r="14" spans="1:36" x14ac:dyDescent="0.25">
      <c r="A14" s="3">
        <v>12</v>
      </c>
      <c r="B14" s="18" t="s">
        <v>24</v>
      </c>
      <c r="C14" s="2">
        <v>4072313012</v>
      </c>
      <c r="D14" s="1" t="s">
        <v>15</v>
      </c>
      <c r="E14" s="29"/>
      <c r="F14" s="1" t="s">
        <v>27</v>
      </c>
      <c r="G14" s="3" t="s">
        <v>15</v>
      </c>
      <c r="H14" s="38"/>
      <c r="I14" s="38"/>
      <c r="J14" s="3" t="s">
        <v>27</v>
      </c>
      <c r="K14" s="3" t="s">
        <v>15</v>
      </c>
      <c r="L14" s="3" t="s">
        <v>15</v>
      </c>
      <c r="M14" s="2" t="s">
        <v>27</v>
      </c>
      <c r="N14" s="1" t="s">
        <v>27</v>
      </c>
      <c r="O14" s="3" t="s">
        <v>27</v>
      </c>
      <c r="P14" s="3" t="s">
        <v>15</v>
      </c>
      <c r="Q14" s="3" t="s">
        <v>15</v>
      </c>
      <c r="R14" s="3" t="s">
        <v>15</v>
      </c>
      <c r="S14" s="3" t="s">
        <v>27</v>
      </c>
      <c r="T14" s="3" t="s">
        <v>15</v>
      </c>
      <c r="U14" s="3" t="s">
        <v>27</v>
      </c>
      <c r="V14" s="2" t="s">
        <v>15</v>
      </c>
      <c r="W14" s="1" t="s">
        <v>15</v>
      </c>
      <c r="X14" s="3" t="s">
        <v>27</v>
      </c>
      <c r="Y14" s="3" t="s">
        <v>15</v>
      </c>
      <c r="Z14" s="3" t="s">
        <v>27</v>
      </c>
      <c r="AA14" s="3" t="s">
        <v>15</v>
      </c>
      <c r="AB14" s="3" t="s">
        <v>27</v>
      </c>
      <c r="AC14" s="3" t="s">
        <v>15</v>
      </c>
      <c r="AD14" s="3" t="s">
        <v>15</v>
      </c>
      <c r="AE14" s="2" t="s">
        <v>15</v>
      </c>
      <c r="AF14" s="22"/>
      <c r="AG14" s="5">
        <f t="shared" si="3"/>
        <v>25</v>
      </c>
      <c r="AH14" s="6">
        <f t="shared" si="0"/>
        <v>15</v>
      </c>
      <c r="AI14" s="7">
        <f t="shared" si="1"/>
        <v>10</v>
      </c>
      <c r="AJ14" s="19">
        <f t="shared" si="2"/>
        <v>60</v>
      </c>
    </row>
    <row r="15" spans="1:36" x14ac:dyDescent="0.25">
      <c r="A15" s="3">
        <v>13</v>
      </c>
      <c r="B15" s="18" t="s">
        <v>25</v>
      </c>
      <c r="C15" s="2">
        <v>4072313013</v>
      </c>
      <c r="D15" s="1" t="s">
        <v>27</v>
      </c>
      <c r="E15" s="29"/>
      <c r="F15" s="1" t="s">
        <v>27</v>
      </c>
      <c r="G15" s="3" t="s">
        <v>15</v>
      </c>
      <c r="H15" s="38"/>
      <c r="I15" s="38"/>
      <c r="J15" s="3" t="s">
        <v>15</v>
      </c>
      <c r="K15" s="3" t="s">
        <v>15</v>
      </c>
      <c r="L15" s="3" t="s">
        <v>27</v>
      </c>
      <c r="M15" s="2" t="s">
        <v>15</v>
      </c>
      <c r="N15" s="1" t="s">
        <v>15</v>
      </c>
      <c r="O15" s="3" t="s">
        <v>15</v>
      </c>
      <c r="P15" s="3" t="s">
        <v>15</v>
      </c>
      <c r="Q15" s="3" t="s">
        <v>15</v>
      </c>
      <c r="R15" s="3" t="s">
        <v>15</v>
      </c>
      <c r="S15" s="3" t="s">
        <v>27</v>
      </c>
      <c r="T15" s="3" t="s">
        <v>27</v>
      </c>
      <c r="U15" s="3" t="s">
        <v>27</v>
      </c>
      <c r="V15" s="2" t="s">
        <v>15</v>
      </c>
      <c r="W15" s="1" t="s">
        <v>15</v>
      </c>
      <c r="X15" s="3" t="s">
        <v>27</v>
      </c>
      <c r="Y15" s="3" t="s">
        <v>15</v>
      </c>
      <c r="Z15" s="3" t="s">
        <v>27</v>
      </c>
      <c r="AA15" s="3" t="s">
        <v>15</v>
      </c>
      <c r="AB15" s="3" t="s">
        <v>15</v>
      </c>
      <c r="AC15" s="3" t="s">
        <v>15</v>
      </c>
      <c r="AD15" s="3" t="s">
        <v>15</v>
      </c>
      <c r="AE15" s="2" t="s">
        <v>15</v>
      </c>
      <c r="AF15" s="22"/>
      <c r="AG15" s="5">
        <f t="shared" si="3"/>
        <v>25</v>
      </c>
      <c r="AH15" s="6">
        <f t="shared" si="0"/>
        <v>17</v>
      </c>
      <c r="AI15" s="7">
        <f t="shared" si="1"/>
        <v>8</v>
      </c>
      <c r="AJ15" s="19">
        <f t="shared" si="2"/>
        <v>68</v>
      </c>
    </row>
    <row r="16" spans="1:36" x14ac:dyDescent="0.25">
      <c r="A16" s="3">
        <v>14</v>
      </c>
      <c r="B16" s="18" t="s">
        <v>32</v>
      </c>
      <c r="C16" s="2">
        <v>4072313014</v>
      </c>
      <c r="D16" s="1" t="s">
        <v>15</v>
      </c>
      <c r="E16" s="29"/>
      <c r="F16" s="1" t="s">
        <v>15</v>
      </c>
      <c r="G16" s="3" t="s">
        <v>15</v>
      </c>
      <c r="H16" s="38"/>
      <c r="I16" s="38"/>
      <c r="J16" s="3" t="s">
        <v>27</v>
      </c>
      <c r="K16" s="3" t="s">
        <v>15</v>
      </c>
      <c r="L16" s="3" t="s">
        <v>15</v>
      </c>
      <c r="M16" s="2" t="s">
        <v>15</v>
      </c>
      <c r="N16" s="1" t="s">
        <v>15</v>
      </c>
      <c r="O16" s="3" t="s">
        <v>15</v>
      </c>
      <c r="P16" s="3" t="s">
        <v>15</v>
      </c>
      <c r="Q16" s="3" t="s">
        <v>15</v>
      </c>
      <c r="R16" s="3" t="s">
        <v>15</v>
      </c>
      <c r="S16" s="3" t="s">
        <v>27</v>
      </c>
      <c r="T16" s="3" t="s">
        <v>27</v>
      </c>
      <c r="U16" s="3" t="s">
        <v>27</v>
      </c>
      <c r="V16" s="2" t="s">
        <v>15</v>
      </c>
      <c r="W16" s="1" t="s">
        <v>15</v>
      </c>
      <c r="X16" s="3" t="s">
        <v>27</v>
      </c>
      <c r="Y16" s="3" t="s">
        <v>15</v>
      </c>
      <c r="Z16" s="3" t="s">
        <v>27</v>
      </c>
      <c r="AA16" s="3" t="s">
        <v>15</v>
      </c>
      <c r="AB16" s="3" t="s">
        <v>15</v>
      </c>
      <c r="AC16" s="3" t="s">
        <v>15</v>
      </c>
      <c r="AD16" s="3" t="s">
        <v>27</v>
      </c>
      <c r="AE16" s="2" t="s">
        <v>15</v>
      </c>
      <c r="AF16" s="22"/>
      <c r="AG16" s="5">
        <f t="shared" si="3"/>
        <v>25</v>
      </c>
      <c r="AH16" s="6">
        <f t="shared" si="0"/>
        <v>18</v>
      </c>
      <c r="AI16" s="7">
        <f t="shared" si="1"/>
        <v>7</v>
      </c>
      <c r="AJ16" s="19">
        <f t="shared" si="2"/>
        <v>72</v>
      </c>
    </row>
    <row r="17" spans="1:36" x14ac:dyDescent="0.25">
      <c r="A17" s="3">
        <v>15</v>
      </c>
      <c r="B17" s="18" t="s">
        <v>26</v>
      </c>
      <c r="C17" s="2">
        <v>4072313015</v>
      </c>
      <c r="D17" s="1" t="s">
        <v>27</v>
      </c>
      <c r="E17" s="29"/>
      <c r="F17" s="1" t="s">
        <v>27</v>
      </c>
      <c r="G17" s="3" t="s">
        <v>15</v>
      </c>
      <c r="H17" s="38"/>
      <c r="I17" s="38"/>
      <c r="J17" s="3" t="s">
        <v>15</v>
      </c>
      <c r="K17" s="3" t="s">
        <v>15</v>
      </c>
      <c r="L17" s="3" t="s">
        <v>15</v>
      </c>
      <c r="M17" s="2" t="s">
        <v>15</v>
      </c>
      <c r="N17" s="1" t="s">
        <v>15</v>
      </c>
      <c r="O17" s="3" t="s">
        <v>15</v>
      </c>
      <c r="P17" s="3" t="s">
        <v>15</v>
      </c>
      <c r="Q17" s="3" t="s">
        <v>15</v>
      </c>
      <c r="R17" s="3" t="s">
        <v>15</v>
      </c>
      <c r="S17" s="3" t="s">
        <v>15</v>
      </c>
      <c r="T17" s="3" t="s">
        <v>15</v>
      </c>
      <c r="U17" s="3" t="s">
        <v>15</v>
      </c>
      <c r="V17" s="2" t="s">
        <v>15</v>
      </c>
      <c r="W17" s="1" t="s">
        <v>15</v>
      </c>
      <c r="X17" s="3" t="s">
        <v>15</v>
      </c>
      <c r="Y17" s="3" t="s">
        <v>15</v>
      </c>
      <c r="Z17" s="3" t="s">
        <v>15</v>
      </c>
      <c r="AA17" s="3" t="s">
        <v>15</v>
      </c>
      <c r="AB17" s="3" t="s">
        <v>15</v>
      </c>
      <c r="AC17" s="3" t="s">
        <v>15</v>
      </c>
      <c r="AD17" s="3" t="s">
        <v>15</v>
      </c>
      <c r="AE17" s="2" t="s">
        <v>15</v>
      </c>
      <c r="AF17" s="22"/>
      <c r="AG17" s="5">
        <f t="shared" si="3"/>
        <v>25</v>
      </c>
      <c r="AH17" s="6">
        <f t="shared" si="0"/>
        <v>23</v>
      </c>
      <c r="AI17" s="7">
        <f t="shared" si="1"/>
        <v>2</v>
      </c>
      <c r="AJ17" s="19">
        <f t="shared" si="2"/>
        <v>92</v>
      </c>
    </row>
    <row r="18" spans="1:36" x14ac:dyDescent="0.25">
      <c r="A18" s="3">
        <v>16</v>
      </c>
      <c r="B18" s="18" t="s">
        <v>33</v>
      </c>
      <c r="C18" s="2">
        <v>4072313016</v>
      </c>
      <c r="D18" s="1" t="s">
        <v>15</v>
      </c>
      <c r="E18" s="29"/>
      <c r="F18" s="1" t="s">
        <v>15</v>
      </c>
      <c r="G18" s="3" t="s">
        <v>15</v>
      </c>
      <c r="H18" s="38"/>
      <c r="I18" s="38"/>
      <c r="J18" s="3" t="s">
        <v>27</v>
      </c>
      <c r="K18" s="3" t="s">
        <v>15</v>
      </c>
      <c r="L18" s="3" t="s">
        <v>15</v>
      </c>
      <c r="M18" s="2" t="s">
        <v>27</v>
      </c>
      <c r="N18" s="1" t="s">
        <v>15</v>
      </c>
      <c r="O18" s="3" t="s">
        <v>15</v>
      </c>
      <c r="P18" s="3" t="s">
        <v>15</v>
      </c>
      <c r="Q18" s="3" t="s">
        <v>27</v>
      </c>
      <c r="R18" s="3" t="s">
        <v>27</v>
      </c>
      <c r="S18" s="3" t="s">
        <v>15</v>
      </c>
      <c r="T18" s="3" t="s">
        <v>15</v>
      </c>
      <c r="U18" s="3" t="s">
        <v>15</v>
      </c>
      <c r="V18" s="2" t="s">
        <v>27</v>
      </c>
      <c r="W18" s="1" t="s">
        <v>15</v>
      </c>
      <c r="X18" s="3" t="s">
        <v>15</v>
      </c>
      <c r="Y18" s="3" t="s">
        <v>15</v>
      </c>
      <c r="Z18" s="3" t="s">
        <v>27</v>
      </c>
      <c r="AA18" s="3" t="s">
        <v>15</v>
      </c>
      <c r="AB18" s="3" t="s">
        <v>15</v>
      </c>
      <c r="AC18" s="3" t="s">
        <v>15</v>
      </c>
      <c r="AD18" s="3" t="s">
        <v>15</v>
      </c>
      <c r="AE18" s="2" t="s">
        <v>15</v>
      </c>
      <c r="AF18" s="22"/>
      <c r="AG18" s="5">
        <f t="shared" si="3"/>
        <v>25</v>
      </c>
      <c r="AH18" s="6">
        <f t="shared" si="0"/>
        <v>19</v>
      </c>
      <c r="AI18" s="7">
        <f t="shared" si="1"/>
        <v>6</v>
      </c>
      <c r="AJ18" s="19">
        <f t="shared" si="2"/>
        <v>76</v>
      </c>
    </row>
    <row r="19" spans="1:36" x14ac:dyDescent="0.25">
      <c r="A19" s="3">
        <v>17</v>
      </c>
      <c r="B19" s="18" t="s">
        <v>34</v>
      </c>
      <c r="C19" s="2">
        <v>4072313017</v>
      </c>
      <c r="D19" s="1" t="s">
        <v>15</v>
      </c>
      <c r="E19" s="29"/>
      <c r="F19" s="1" t="s">
        <v>15</v>
      </c>
      <c r="G19" s="3" t="s">
        <v>15</v>
      </c>
      <c r="H19" s="38"/>
      <c r="I19" s="38"/>
      <c r="J19" s="3" t="s">
        <v>15</v>
      </c>
      <c r="K19" s="3" t="s">
        <v>15</v>
      </c>
      <c r="L19" s="3" t="s">
        <v>15</v>
      </c>
      <c r="M19" s="2" t="s">
        <v>15</v>
      </c>
      <c r="N19" s="1" t="s">
        <v>15</v>
      </c>
      <c r="O19" s="3" t="s">
        <v>15</v>
      </c>
      <c r="P19" s="3" t="s">
        <v>15</v>
      </c>
      <c r="Q19" s="3" t="s">
        <v>15</v>
      </c>
      <c r="R19" s="3" t="s">
        <v>15</v>
      </c>
      <c r="S19" s="3" t="s">
        <v>15</v>
      </c>
      <c r="T19" s="3" t="s">
        <v>15</v>
      </c>
      <c r="U19" s="3" t="s">
        <v>15</v>
      </c>
      <c r="V19" s="2" t="s">
        <v>15</v>
      </c>
      <c r="W19" s="1" t="s">
        <v>15</v>
      </c>
      <c r="X19" s="3" t="s">
        <v>15</v>
      </c>
      <c r="Y19" s="3" t="s">
        <v>15</v>
      </c>
      <c r="Z19" s="3" t="s">
        <v>15</v>
      </c>
      <c r="AA19" s="3" t="s">
        <v>15</v>
      </c>
      <c r="AB19" s="3" t="s">
        <v>15</v>
      </c>
      <c r="AC19" s="3" t="s">
        <v>15</v>
      </c>
      <c r="AD19" s="3" t="s">
        <v>15</v>
      </c>
      <c r="AE19" s="2" t="s">
        <v>15</v>
      </c>
      <c r="AF19" s="22"/>
      <c r="AG19" s="5">
        <f t="shared" si="3"/>
        <v>25</v>
      </c>
      <c r="AH19" s="6">
        <f t="shared" si="0"/>
        <v>25</v>
      </c>
      <c r="AI19" s="7">
        <f t="shared" si="1"/>
        <v>0</v>
      </c>
      <c r="AJ19" s="19">
        <f t="shared" si="2"/>
        <v>100</v>
      </c>
    </row>
    <row r="20" spans="1:36" x14ac:dyDescent="0.25">
      <c r="A20" s="3">
        <v>18</v>
      </c>
      <c r="B20" s="18" t="s">
        <v>35</v>
      </c>
      <c r="C20" s="2">
        <v>4072313018</v>
      </c>
      <c r="D20" s="8" t="s">
        <v>15</v>
      </c>
      <c r="E20" s="29"/>
      <c r="F20" s="1" t="s">
        <v>27</v>
      </c>
      <c r="G20" s="3" t="s">
        <v>27</v>
      </c>
      <c r="H20" s="38"/>
      <c r="I20" s="38"/>
      <c r="J20" s="3" t="s">
        <v>15</v>
      </c>
      <c r="K20" s="3" t="s">
        <v>15</v>
      </c>
      <c r="L20" s="3" t="s">
        <v>15</v>
      </c>
      <c r="M20" s="2" t="s">
        <v>15</v>
      </c>
      <c r="N20" s="1" t="s">
        <v>27</v>
      </c>
      <c r="O20" s="3" t="s">
        <v>15</v>
      </c>
      <c r="P20" s="3" t="s">
        <v>15</v>
      </c>
      <c r="Q20" s="3" t="s">
        <v>15</v>
      </c>
      <c r="R20" s="3" t="s">
        <v>27</v>
      </c>
      <c r="S20" s="3" t="s">
        <v>15</v>
      </c>
      <c r="T20" s="3" t="s">
        <v>15</v>
      </c>
      <c r="U20" s="3" t="s">
        <v>27</v>
      </c>
      <c r="V20" s="2" t="s">
        <v>15</v>
      </c>
      <c r="W20" s="1" t="s">
        <v>27</v>
      </c>
      <c r="X20" s="3" t="s">
        <v>15</v>
      </c>
      <c r="Y20" s="3" t="s">
        <v>15</v>
      </c>
      <c r="Z20" s="3" t="s">
        <v>15</v>
      </c>
      <c r="AA20" s="3" t="s">
        <v>27</v>
      </c>
      <c r="AB20" s="3" t="s">
        <v>15</v>
      </c>
      <c r="AC20" s="3" t="s">
        <v>15</v>
      </c>
      <c r="AD20" s="3" t="s">
        <v>27</v>
      </c>
      <c r="AE20" s="2" t="s">
        <v>15</v>
      </c>
      <c r="AF20" s="22"/>
      <c r="AG20" s="5">
        <f t="shared" si="3"/>
        <v>25</v>
      </c>
      <c r="AH20" s="6">
        <f t="shared" si="0"/>
        <v>17</v>
      </c>
      <c r="AI20" s="7">
        <f t="shared" si="1"/>
        <v>8</v>
      </c>
      <c r="AJ20" s="19">
        <f t="shared" si="2"/>
        <v>68</v>
      </c>
    </row>
    <row r="21" spans="1:36" x14ac:dyDescent="0.25">
      <c r="A21" s="3">
        <v>19</v>
      </c>
      <c r="B21" s="18" t="s">
        <v>36</v>
      </c>
      <c r="C21" s="2">
        <v>4072313019</v>
      </c>
      <c r="D21" s="8" t="s">
        <v>15</v>
      </c>
      <c r="E21" s="30"/>
      <c r="F21" s="1" t="s">
        <v>15</v>
      </c>
      <c r="G21" s="3" t="s">
        <v>15</v>
      </c>
      <c r="H21" s="39"/>
      <c r="I21" s="39"/>
      <c r="J21" s="3" t="s">
        <v>15</v>
      </c>
      <c r="K21" s="3" t="s">
        <v>15</v>
      </c>
      <c r="L21" s="3" t="s">
        <v>27</v>
      </c>
      <c r="M21" s="2" t="s">
        <v>27</v>
      </c>
      <c r="N21" s="1" t="s">
        <v>15</v>
      </c>
      <c r="O21" s="3" t="s">
        <v>15</v>
      </c>
      <c r="P21" s="3" t="s">
        <v>15</v>
      </c>
      <c r="Q21" s="3" t="s">
        <v>15</v>
      </c>
      <c r="R21" s="3" t="s">
        <v>27</v>
      </c>
      <c r="S21" s="3" t="s">
        <v>15</v>
      </c>
      <c r="T21" s="3" t="s">
        <v>15</v>
      </c>
      <c r="U21" s="3" t="s">
        <v>27</v>
      </c>
      <c r="V21" s="2" t="s">
        <v>15</v>
      </c>
      <c r="W21" s="1" t="s">
        <v>15</v>
      </c>
      <c r="X21" s="3" t="s">
        <v>15</v>
      </c>
      <c r="Y21" s="3" t="s">
        <v>27</v>
      </c>
      <c r="Z21" s="3" t="s">
        <v>15</v>
      </c>
      <c r="AA21" s="3" t="s">
        <v>15</v>
      </c>
      <c r="AB21" s="3" t="s">
        <v>15</v>
      </c>
      <c r="AC21" s="3" t="s">
        <v>27</v>
      </c>
      <c r="AD21" s="3" t="s">
        <v>15</v>
      </c>
      <c r="AE21" s="2" t="s">
        <v>15</v>
      </c>
      <c r="AF21" s="22"/>
      <c r="AG21" s="5">
        <f t="shared" si="3"/>
        <v>25</v>
      </c>
      <c r="AH21" s="6">
        <f t="shared" si="0"/>
        <v>19</v>
      </c>
      <c r="AI21" s="7">
        <f t="shared" si="1"/>
        <v>6</v>
      </c>
      <c r="AJ21" s="19">
        <f t="shared" si="2"/>
        <v>76</v>
      </c>
    </row>
    <row r="23" spans="1:36" ht="17.25" customHeight="1" x14ac:dyDescent="0.25">
      <c r="C23" s="9" t="s">
        <v>12</v>
      </c>
      <c r="D23" s="10">
        <f>COUNTA(D3:D21)</f>
        <v>19</v>
      </c>
      <c r="E23" s="10"/>
      <c r="F23" s="10">
        <f t="shared" ref="F23:AE23" si="4">COUNTA(F3:F21)</f>
        <v>19</v>
      </c>
      <c r="G23" s="10">
        <f t="shared" si="4"/>
        <v>19</v>
      </c>
      <c r="H23" s="10"/>
      <c r="I23" s="10"/>
      <c r="J23" s="10">
        <f t="shared" si="4"/>
        <v>19</v>
      </c>
      <c r="K23" s="10">
        <f t="shared" si="4"/>
        <v>19</v>
      </c>
      <c r="L23" s="10">
        <f t="shared" si="4"/>
        <v>19</v>
      </c>
      <c r="M23" s="10">
        <f t="shared" si="4"/>
        <v>19</v>
      </c>
      <c r="N23" s="10">
        <f t="shared" si="4"/>
        <v>19</v>
      </c>
      <c r="O23" s="10">
        <f t="shared" si="4"/>
        <v>19</v>
      </c>
      <c r="P23" s="10">
        <f t="shared" si="4"/>
        <v>19</v>
      </c>
      <c r="Q23" s="10">
        <f t="shared" si="4"/>
        <v>19</v>
      </c>
      <c r="R23" s="10">
        <f t="shared" si="4"/>
        <v>19</v>
      </c>
      <c r="S23" s="10">
        <f t="shared" si="4"/>
        <v>19</v>
      </c>
      <c r="T23" s="10">
        <f t="shared" si="4"/>
        <v>19</v>
      </c>
      <c r="U23" s="10">
        <f t="shared" si="4"/>
        <v>19</v>
      </c>
      <c r="V23" s="10">
        <f t="shared" si="4"/>
        <v>19</v>
      </c>
      <c r="W23" s="10">
        <f t="shared" si="4"/>
        <v>19</v>
      </c>
      <c r="X23" s="10">
        <f t="shared" si="4"/>
        <v>19</v>
      </c>
      <c r="Y23" s="10">
        <f t="shared" si="4"/>
        <v>19</v>
      </c>
      <c r="Z23" s="10">
        <f t="shared" si="4"/>
        <v>19</v>
      </c>
      <c r="AA23" s="10">
        <f>COUNTA(AA3:AA21)</f>
        <v>19</v>
      </c>
      <c r="AB23" s="10">
        <f t="shared" si="4"/>
        <v>19</v>
      </c>
      <c r="AC23" s="10">
        <f t="shared" si="4"/>
        <v>19</v>
      </c>
      <c r="AD23" s="10">
        <f t="shared" si="4"/>
        <v>19</v>
      </c>
      <c r="AE23" s="10">
        <f t="shared" si="4"/>
        <v>19</v>
      </c>
    </row>
    <row r="24" spans="1:36" ht="17.25" customHeight="1" x14ac:dyDescent="0.25">
      <c r="C24" s="14" t="s">
        <v>13</v>
      </c>
      <c r="D24" s="15">
        <f>COUNTIF(D3:D21, "P")</f>
        <v>16</v>
      </c>
      <c r="E24" s="10"/>
      <c r="F24" s="15">
        <f t="shared" ref="F24:AE24" si="5">COUNTIF(F3:F21, "P")</f>
        <v>11</v>
      </c>
      <c r="G24" s="15">
        <f t="shared" si="5"/>
        <v>14</v>
      </c>
      <c r="H24" s="15"/>
      <c r="I24" s="15"/>
      <c r="J24" s="15">
        <f t="shared" si="5"/>
        <v>14</v>
      </c>
      <c r="K24" s="15">
        <f t="shared" si="5"/>
        <v>15</v>
      </c>
      <c r="L24" s="15">
        <f t="shared" si="5"/>
        <v>15</v>
      </c>
      <c r="M24" s="15">
        <f t="shared" si="5"/>
        <v>11</v>
      </c>
      <c r="N24" s="15">
        <f t="shared" si="5"/>
        <v>14</v>
      </c>
      <c r="O24" s="15">
        <f t="shared" si="5"/>
        <v>15</v>
      </c>
      <c r="P24" s="15">
        <f t="shared" si="5"/>
        <v>14</v>
      </c>
      <c r="Q24" s="15">
        <f t="shared" si="5"/>
        <v>14</v>
      </c>
      <c r="R24" s="15">
        <f t="shared" si="5"/>
        <v>13</v>
      </c>
      <c r="S24" s="15">
        <f t="shared" si="5"/>
        <v>11</v>
      </c>
      <c r="T24" s="15">
        <f t="shared" si="5"/>
        <v>15</v>
      </c>
      <c r="U24" s="15">
        <f t="shared" si="5"/>
        <v>12</v>
      </c>
      <c r="V24" s="15">
        <f t="shared" si="5"/>
        <v>15</v>
      </c>
      <c r="W24" s="15">
        <f t="shared" si="5"/>
        <v>15</v>
      </c>
      <c r="X24" s="15">
        <f t="shared" si="5"/>
        <v>12</v>
      </c>
      <c r="Y24" s="15">
        <f t="shared" si="5"/>
        <v>14</v>
      </c>
      <c r="Z24" s="15">
        <f t="shared" si="5"/>
        <v>13</v>
      </c>
      <c r="AA24" s="15">
        <f t="shared" si="5"/>
        <v>14</v>
      </c>
      <c r="AB24" s="15">
        <f t="shared" si="5"/>
        <v>15</v>
      </c>
      <c r="AC24" s="15">
        <f t="shared" si="5"/>
        <v>15</v>
      </c>
      <c r="AD24" s="15">
        <f t="shared" si="5"/>
        <v>15</v>
      </c>
      <c r="AE24" s="15">
        <f t="shared" si="5"/>
        <v>15</v>
      </c>
    </row>
    <row r="25" spans="1:36" ht="17.25" customHeight="1" x14ac:dyDescent="0.25">
      <c r="C25" s="16" t="s">
        <v>14</v>
      </c>
      <c r="D25" s="17">
        <f>COUNTIF(D3:D21, "A")</f>
        <v>3</v>
      </c>
      <c r="E25" s="10"/>
      <c r="F25" s="17">
        <f t="shared" ref="F25:AE25" si="6">COUNTIF(F3:F21, "A")</f>
        <v>8</v>
      </c>
      <c r="G25" s="17">
        <f t="shared" si="6"/>
        <v>5</v>
      </c>
      <c r="H25" s="17"/>
      <c r="I25" s="17"/>
      <c r="J25" s="17">
        <f t="shared" si="6"/>
        <v>5</v>
      </c>
      <c r="K25" s="17">
        <f t="shared" si="6"/>
        <v>4</v>
      </c>
      <c r="L25" s="17">
        <f t="shared" si="6"/>
        <v>4</v>
      </c>
      <c r="M25" s="17">
        <f t="shared" si="6"/>
        <v>8</v>
      </c>
      <c r="N25" s="17">
        <f t="shared" si="6"/>
        <v>5</v>
      </c>
      <c r="O25" s="17">
        <f t="shared" si="6"/>
        <v>4</v>
      </c>
      <c r="P25" s="17">
        <f t="shared" si="6"/>
        <v>5</v>
      </c>
      <c r="Q25" s="17">
        <f t="shared" si="6"/>
        <v>5</v>
      </c>
      <c r="R25" s="17">
        <f t="shared" si="6"/>
        <v>6</v>
      </c>
      <c r="S25" s="17">
        <f t="shared" si="6"/>
        <v>8</v>
      </c>
      <c r="T25" s="17">
        <f t="shared" si="6"/>
        <v>4</v>
      </c>
      <c r="U25" s="17">
        <f t="shared" si="6"/>
        <v>7</v>
      </c>
      <c r="V25" s="17">
        <f t="shared" si="6"/>
        <v>4</v>
      </c>
      <c r="W25" s="17">
        <f t="shared" si="6"/>
        <v>4</v>
      </c>
      <c r="X25" s="17">
        <f t="shared" si="6"/>
        <v>7</v>
      </c>
      <c r="Y25" s="17">
        <f t="shared" si="6"/>
        <v>5</v>
      </c>
      <c r="Z25" s="17">
        <f t="shared" si="6"/>
        <v>6</v>
      </c>
      <c r="AA25" s="17">
        <f t="shared" si="6"/>
        <v>5</v>
      </c>
      <c r="AB25" s="17">
        <f t="shared" si="6"/>
        <v>4</v>
      </c>
      <c r="AC25" s="17">
        <f t="shared" si="6"/>
        <v>4</v>
      </c>
      <c r="AD25" s="17">
        <f t="shared" si="6"/>
        <v>4</v>
      </c>
      <c r="AE25" s="17">
        <f t="shared" si="6"/>
        <v>4</v>
      </c>
    </row>
  </sheetData>
  <mergeCells count="14">
    <mergeCell ref="AH1:AH2"/>
    <mergeCell ref="AI1:AI2"/>
    <mergeCell ref="AJ1:AJ2"/>
    <mergeCell ref="H3:H21"/>
    <mergeCell ref="I3:I21"/>
    <mergeCell ref="F1:M1"/>
    <mergeCell ref="N1:V1"/>
    <mergeCell ref="W1:AE1"/>
    <mergeCell ref="A1:A2"/>
    <mergeCell ref="B1:B2"/>
    <mergeCell ref="C1:C2"/>
    <mergeCell ref="E3:E21"/>
    <mergeCell ref="AG1:AG2"/>
    <mergeCell ref="D1:E1"/>
  </mergeCells>
  <phoneticPr fontId="1" type="noConversion"/>
  <conditionalFormatting sqref="D3:H3 D4:D21 F4:G21 J3:AE21">
    <cfRule type="cellIs" dxfId="6" priority="7" operator="equal">
      <formula>"P"</formula>
    </cfRule>
    <cfRule type="cellIs" dxfId="5" priority="6" operator="equal">
      <formula>"A"</formula>
    </cfRule>
  </conditionalFormatting>
  <conditionalFormatting sqref="I3">
    <cfRule type="cellIs" dxfId="4" priority="4" operator="equal">
      <formula>"A"</formula>
    </cfRule>
    <cfRule type="cellIs" dxfId="3" priority="5" operator="equal">
      <formula>"P"</formula>
    </cfRule>
  </conditionalFormatting>
  <conditionalFormatting sqref="AJ3:AJ21">
    <cfRule type="cellIs" dxfId="2" priority="3" operator="greaterThan">
      <formula>80</formula>
    </cfRule>
    <cfRule type="cellIs" dxfId="1" priority="2" operator="lessThan">
      <formula>80</formula>
    </cfRule>
    <cfRule type="cellIs" dxfId="0" priority="1" operator="equal">
      <formula>80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Attendance Sheet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2023-10-27T16:39:23Z</dcterms:created>
  <dcterms:modified xsi:type="dcterms:W3CDTF">2023-11-01T18:27:25Z</dcterms:modified>
</cp:coreProperties>
</file>